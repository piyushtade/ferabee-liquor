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SKU Pricing &amp; Margins" sheetId="2" state="visible" r:id="rId2"/>
    <sheet name="Lounge Unit Economics" sheetId="3" state="visible" r:id="rId3"/>
    <sheet name="Consolidated 3-Year 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,##0"/>
    <numFmt numFmtId="165" formatCode="0.0%"/>
    <numFmt numFmtId="166" formatCode="0.00&quot;x&quot;"/>
    <numFmt numFmtId="167" formatCode="₹#,##0"/>
    <numFmt numFmtId="168" formatCode="₹#,##0.00"/>
    <numFmt numFmtId="169" formatCode="0.0&quot; Month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9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color rgb="0064748B"/>
      <sz val="8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47857"/>
      <sz val="10"/>
    </font>
    <font>
      <name val="Calibri"/>
      <b val="1"/>
      <color rgb="00FFFFFF"/>
      <sz val="11"/>
    </font>
    <font>
      <name val="Calibri"/>
      <b val="1"/>
      <color rgb="00D97706"/>
      <sz val="10"/>
    </font>
    <font>
      <name val="Calibri"/>
      <b val="1"/>
      <color rgb="00047857"/>
      <sz val="11"/>
    </font>
    <font>
      <name val="Calibri"/>
      <b val="1"/>
      <color rgb="00D97706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6" fillId="0" borderId="1" pivotButton="0" quotePrefix="0" xfId="0"/>
    <xf numFmtId="3" fontId="8" fillId="0" borderId="1" applyAlignment="1" pivotButton="0" quotePrefix="0" xfId="0">
      <alignment horizontal="right"/>
    </xf>
    <xf numFmtId="0" fontId="6" fillId="5" borderId="1" pivotButton="0" quotePrefix="0" xfId="0"/>
    <xf numFmtId="164" fontId="8" fillId="5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8" fillId="5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5" fontId="8" fillId="5" borderId="1" applyAlignment="1" pivotButton="0" quotePrefix="0" xfId="0">
      <alignment horizontal="right"/>
    </xf>
    <xf numFmtId="0" fontId="8" fillId="0" borderId="1" pivotButton="0" quotePrefix="0" xfId="0"/>
    <xf numFmtId="167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168" fontId="6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0" fontId="8" fillId="5" borderId="1" pivotButton="0" quotePrefix="0" xfId="0"/>
    <xf numFmtId="167" fontId="8" fillId="5" borderId="1" applyAlignment="1" pivotButton="0" quotePrefix="0" xfId="0">
      <alignment horizontal="right"/>
    </xf>
    <xf numFmtId="168" fontId="8" fillId="5" borderId="1" applyAlignment="1" pivotButton="0" quotePrefix="0" xfId="0">
      <alignment horizontal="right"/>
    </xf>
    <xf numFmtId="168" fontId="6" fillId="5" borderId="1" applyAlignment="1" pivotButton="0" quotePrefix="0" xfId="0">
      <alignment horizontal="right"/>
    </xf>
    <xf numFmtId="165" fontId="9" fillId="5" borderId="1" applyAlignment="1" pivotButton="0" quotePrefix="0" xfId="0">
      <alignment horizontal="right"/>
    </xf>
    <xf numFmtId="3" fontId="0" fillId="0" borderId="0" pivotButton="0" quotePrefix="0" xfId="0"/>
    <xf numFmtId="167" fontId="0" fillId="0" borderId="0" pivotButton="0" quotePrefix="0" xfId="0"/>
    <xf numFmtId="164" fontId="6" fillId="0" borderId="0" pivotButton="0" quotePrefix="0" xfId="0"/>
    <xf numFmtId="165" fontId="0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164" fontId="10" fillId="2" borderId="0" pivotButton="0" quotePrefix="0" xfId="0"/>
    <xf numFmtId="165" fontId="7" fillId="2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164" fontId="11" fillId="3" borderId="0" pivotButton="0" quotePrefix="0" xfId="0"/>
    <xf numFmtId="165" fontId="11" fillId="3" borderId="0" pivotButton="0" quotePrefix="0" xfId="0"/>
    <xf numFmtId="0" fontId="8" fillId="0" borderId="0" pivotButton="0" quotePrefix="0" xfId="0"/>
    <xf numFmtId="0" fontId="2" fillId="0" borderId="0" pivotButton="0" quotePrefix="0" xfId="0"/>
    <xf numFmtId="164" fontId="8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6" fillId="0" borderId="0" pivotButton="0" quotePrefix="0" xfId="0"/>
    <xf numFmtId="0" fontId="12" fillId="6" borderId="0" pivotButton="0" quotePrefix="0" xfId="0"/>
    <xf numFmtId="0" fontId="0" fillId="6" borderId="0" pivotButton="0" quotePrefix="0" xfId="0"/>
    <xf numFmtId="164" fontId="12" fillId="6" borderId="0" pivotButton="0" quotePrefix="0" xfId="0"/>
    <xf numFmtId="165" fontId="9" fillId="6" borderId="0" pivotButton="0" quotePrefix="0" xfId="0"/>
    <xf numFmtId="0" fontId="13" fillId="3" borderId="0" pivotButton="0" quotePrefix="0" xfId="0"/>
    <xf numFmtId="169" fontId="13" fillId="3" borderId="0" pivotButton="0" quotePrefix="0" xfId="0"/>
    <xf numFmtId="0" fontId="6" fillId="2" borderId="1" pivotButton="0" quotePrefix="0" xfId="0"/>
    <xf numFmtId="164" fontId="7" fillId="2" borderId="1" applyAlignment="1" pivotButton="0" quotePrefix="0" xfId="0">
      <alignment horizontal="right"/>
    </xf>
    <xf numFmtId="0" fontId="6" fillId="6" borderId="1" pivotButton="0" quotePrefix="0" xfId="0"/>
    <xf numFmtId="164" fontId="9" fillId="6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0" fontId="6" fillId="3" borderId="1" pivotButton="0" quotePrefix="0" xfId="0"/>
    <xf numFmtId="166" fontId="1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7" customWidth="1" min="2" max="2"/>
    <col width="31" customWidth="1" min="3" max="3"/>
    <col width="31" customWidth="1" min="4" max="4"/>
    <col width="26" customWidth="1" min="5" max="5"/>
    <col width="26" customWidth="1" min="6" max="6"/>
    <col width="30" customWidth="1" min="7" max="7"/>
  </cols>
  <sheetData>
    <row r="1" ht="35" customHeight="1">
      <c r="A1" s="1" t="inlineStr">
        <is>
          <t>FERABEE LIQUOR PRIVATE LIMITED — MASTER FINANCIAL MODEL &amp; VALUATION DASHBOARD</t>
        </is>
      </c>
    </row>
    <row r="2" ht="20" customHeight="1">
      <c r="A2" s="2" t="inlineStr">
        <is>
          <t>Series-A Equity Capital Raise (₹18.0 Cr @ ₹72.0 Cr Post-Money Valuation) | Target Network: 367 Bee Lounges across MH &amp; Goa</t>
        </is>
      </c>
    </row>
    <row r="3"/>
    <row r="4" ht="20" customHeight="1">
      <c r="A4" s="3" t="inlineStr">
        <is>
          <t>Target Taluka Lounges</t>
        </is>
      </c>
      <c r="B4" s="3" t="inlineStr">
        <is>
          <t>Series-A Capital Ask</t>
        </is>
      </c>
      <c r="C4" s="3" t="inlineStr">
        <is>
          <t>Pre-Money Valuation</t>
        </is>
      </c>
      <c r="D4" s="3" t="inlineStr">
        <is>
          <t>Lounge Net Profit (Mo)</t>
        </is>
      </c>
      <c r="E4" s="3" t="inlineStr">
        <is>
          <t>Captive Off-Take Volume</t>
        </is>
      </c>
      <c r="F4" s="3" t="inlineStr">
        <is>
          <t>Year 3 Target EBITDA</t>
        </is>
      </c>
      <c r="G4" s="3" t="inlineStr">
        <is>
          <t>Investor 3-Yr Return (MOIC)</t>
        </is>
      </c>
    </row>
    <row r="5" ht="26" customHeight="1">
      <c r="A5" s="4" t="inlineStr">
        <is>
          <t>367 Outlets</t>
        </is>
      </c>
      <c r="B5" s="4" t="inlineStr">
        <is>
          <t>₹18,00,00,000</t>
        </is>
      </c>
      <c r="C5" s="4" t="inlineStr">
        <is>
          <t>₹54,00,00,000</t>
        </is>
      </c>
      <c r="D5" s="4" t="inlineStr">
        <is>
          <t>₹9,95,120</t>
        </is>
      </c>
      <c r="E5" s="4" t="inlineStr">
        <is>
          <t>2,09,190 Cases/Yr</t>
        </is>
      </c>
      <c r="F5" s="4" t="inlineStr">
        <is>
          <t>₹36.0 Cr – ₹78.0 Cr</t>
        </is>
      </c>
      <c r="G5" s="4" t="inlineStr">
        <is>
          <t>3.54x – 10.83x</t>
        </is>
      </c>
    </row>
    <row r="6" ht="18" customHeight="1">
      <c r="A6" s="5" t="inlineStr">
        <is>
          <t>355 Maharashtra + 12 Goa</t>
        </is>
      </c>
      <c r="B6" s="5" t="inlineStr">
        <is>
          <t>25.0% Preferred Equity</t>
        </is>
      </c>
      <c r="C6" s="5" t="inlineStr">
        <is>
          <t>₹72.0 Cr Post-Money</t>
        </is>
      </c>
      <c r="D6" s="5" t="inlineStr">
        <is>
          <t>12.6 – 18.0 Mo Payback</t>
        </is>
      </c>
      <c r="E6" s="5" t="inlineStr">
        <is>
          <t>1.88 Million Litres</t>
        </is>
      </c>
      <c r="F6" s="5" t="inlineStr">
        <is>
          <t>27% – 38% EBITDA Margin</t>
        </is>
      </c>
      <c r="G6" s="5" t="inlineStr">
        <is>
          <t>50% – 121% Target IRR</t>
        </is>
      </c>
    </row>
    <row r="7"/>
    <row r="8">
      <c r="A8" s="6" t="inlineStr">
        <is>
          <t>3-YEAR SCENARIO RETURNS &amp; VALUATION BRIDGE</t>
        </is>
      </c>
    </row>
    <row r="9" ht="24" customHeight="1">
      <c r="A9" s="7" t="inlineStr">
        <is>
          <t>Scenario Dimension</t>
        </is>
      </c>
      <c r="B9" s="7" t="inlineStr">
        <is>
          <t>Bear Case (Conservative)</t>
        </is>
      </c>
      <c r="C9" s="7" t="inlineStr">
        <is>
          <t>Base Case (Realistic Target)</t>
        </is>
      </c>
      <c r="D9" s="7" t="inlineStr">
        <is>
          <t>Bull Case (Full 367 Outlets)</t>
        </is>
      </c>
    </row>
    <row r="10" ht="20" customHeight="1">
      <c r="A10" s="8" t="inlineStr">
        <is>
          <t>Active Bee Lounges (Month 36)</t>
        </is>
      </c>
      <c r="B10" s="9" t="n">
        <v>150</v>
      </c>
      <c r="C10" s="9" t="n">
        <v>250</v>
      </c>
      <c r="D10" s="9" t="n">
        <v>367</v>
      </c>
    </row>
    <row r="11" ht="20" customHeight="1">
      <c r="A11" s="10" t="inlineStr">
        <is>
          <t>Average Store Monthly Revenue</t>
        </is>
      </c>
      <c r="B11" s="11" t="n">
        <v>4000000</v>
      </c>
      <c r="C11" s="11" t="n">
        <v>5086770</v>
      </c>
      <c r="D11" s="11" t="n">
        <v>6000000</v>
      </c>
    </row>
    <row r="12" ht="20" customHeight="1">
      <c r="A12" s="8" t="inlineStr">
        <is>
          <t>Consolidated Gross Annual Revenue</t>
        </is>
      </c>
      <c r="B12" s="12" t="n">
        <v>610000000</v>
      </c>
      <c r="C12" s="12" t="n">
        <v>1340000000</v>
      </c>
      <c r="D12" s="12" t="n">
        <v>2850000000</v>
      </c>
    </row>
    <row r="13" ht="20" customHeight="1">
      <c r="A13" s="10" t="inlineStr">
        <is>
          <t>Consolidated Annual EBITDA</t>
        </is>
      </c>
      <c r="B13" s="11" t="n">
        <v>152500000</v>
      </c>
      <c r="C13" s="11" t="n">
        <v>360000000</v>
      </c>
      <c r="D13" s="11" t="n">
        <v>780000000</v>
      </c>
    </row>
    <row r="14" ht="20" customHeight="1">
      <c r="A14" s="8" t="inlineStr">
        <is>
          <t>EBITDA Margin (%)</t>
        </is>
      </c>
      <c r="B14" s="13" t="n">
        <v>0.25</v>
      </c>
      <c r="C14" s="13" t="n">
        <v>0.269</v>
      </c>
      <c r="D14" s="13" t="n">
        <v>0.382</v>
      </c>
    </row>
    <row r="15" ht="20" customHeight="1">
      <c r="A15" s="10" t="inlineStr">
        <is>
          <t>EV / EBITDA Valuation Multiple</t>
        </is>
      </c>
      <c r="B15" s="14" t="n">
        <v>6</v>
      </c>
      <c r="C15" s="14" t="n">
        <v>8</v>
      </c>
      <c r="D15" s="14" t="n">
        <v>10</v>
      </c>
    </row>
    <row r="16" ht="20" customHeight="1">
      <c r="A16" s="8" t="inlineStr">
        <is>
          <t>Enterprise Valuation (EV)</t>
        </is>
      </c>
      <c r="B16" s="12" t="n">
        <v>915000000</v>
      </c>
      <c r="C16" s="12" t="n">
        <v>2880000000</v>
      </c>
      <c r="D16" s="12" t="n">
        <v>7800000000</v>
      </c>
    </row>
    <row r="17" ht="20" customHeight="1">
      <c r="A17" s="10" t="inlineStr">
        <is>
          <t>Investor 25% Equity Value</t>
        </is>
      </c>
      <c r="B17" s="11" t="n">
        <v>228750000</v>
      </c>
      <c r="C17" s="11" t="n">
        <v>720000000</v>
      </c>
      <c r="D17" s="11" t="n">
        <v>1950000000</v>
      </c>
    </row>
    <row r="18" ht="20" customHeight="1">
      <c r="A18" s="8" t="inlineStr">
        <is>
          <t>Investor Multiple on Invested Capital (MOIC)</t>
        </is>
      </c>
      <c r="B18" s="15" t="n">
        <v>1.27</v>
      </c>
      <c r="C18" s="15" t="n">
        <v>4</v>
      </c>
      <c r="D18" s="15" t="n">
        <v>10.83</v>
      </c>
    </row>
    <row r="19" ht="20" customHeight="1">
      <c r="A19" s="10" t="inlineStr">
        <is>
          <t>Estimated 36-Month IRR (%)</t>
        </is>
      </c>
      <c r="B19" s="16" t="n">
        <v>0.083</v>
      </c>
      <c r="C19" s="16" t="n">
        <v>0.587</v>
      </c>
      <c r="D19" s="16" t="n">
        <v>1.212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9" customWidth="1" min="3" max="3"/>
    <col width="24" customWidth="1" min="4" max="4"/>
    <col width="14" customWidth="1" min="5" max="5"/>
    <col width="20" customWidth="1" min="6" max="6"/>
    <col width="18" customWidth="1" min="7" max="7"/>
    <col width="19" customWidth="1" min="8" max="8"/>
    <col width="17" customWidth="1" min="9" max="9"/>
    <col width="19" customWidth="1" min="10" max="10"/>
    <col width="19" customWidth="1" min="11" max="11"/>
  </cols>
  <sheetData>
    <row r="1" ht="30" customHeight="1">
      <c r="A1" s="1" t="inlineStr">
        <is>
          <t>FERABEE PRODUCT MIX, UNIT COGS &amp; GROSS MARGIN ARCHITECTURE</t>
        </is>
      </c>
    </row>
    <row r="2"/>
    <row r="3" ht="24" customHeight="1">
      <c r="A3" s="7" t="inlineStr">
        <is>
          <t>SKU Name</t>
        </is>
      </c>
      <c r="B3" s="7" t="inlineStr">
        <is>
          <t>Category</t>
        </is>
      </c>
      <c r="C3" s="7" t="inlineStr">
        <is>
          <t>Strength (% ABV)</t>
        </is>
      </c>
      <c r="D3" s="7" t="inlineStr">
        <is>
          <t>Packaging Format</t>
        </is>
      </c>
      <c r="E3" s="7" t="inlineStr">
        <is>
          <t>Goa MRP (₹)</t>
        </is>
      </c>
      <c r="F3" s="7" t="inlineStr">
        <is>
          <t>MH Retail MRP (₹)</t>
        </is>
      </c>
      <c r="G3" s="7" t="inlineStr">
        <is>
          <t>Serving Measure</t>
        </is>
      </c>
      <c r="H3" s="7" t="inlineStr">
        <is>
          <t>Serving COGS (₹)</t>
        </is>
      </c>
      <c r="I3" s="7" t="inlineStr">
        <is>
          <t>Menu Price (₹)</t>
        </is>
      </c>
      <c r="J3" s="7" t="inlineStr">
        <is>
          <t>Gross Profit (₹)</t>
        </is>
      </c>
      <c r="K3" s="7" t="inlineStr">
        <is>
          <t>Gross Margin (%)</t>
        </is>
      </c>
    </row>
    <row r="4" ht="20" customHeight="1">
      <c r="A4" s="8" t="inlineStr">
        <is>
          <t>FeraBee Reserve Whisky</t>
        </is>
      </c>
      <c r="B4" s="17" t="inlineStr">
        <is>
          <t>Premium Blended Whisky</t>
        </is>
      </c>
      <c r="C4" s="13" t="n">
        <v>0.428</v>
      </c>
      <c r="D4" s="17" t="inlineStr">
        <is>
          <t>750ml Black Glass</t>
        </is>
      </c>
      <c r="E4" s="18" t="n">
        <v>1350</v>
      </c>
      <c r="F4" s="18" t="n">
        <v>2200</v>
      </c>
      <c r="G4" s="17" t="inlineStr">
        <is>
          <t>60ml Peg</t>
        </is>
      </c>
      <c r="H4" s="19" t="n">
        <v>35</v>
      </c>
      <c r="I4" s="19" t="n">
        <v>180</v>
      </c>
      <c r="J4" s="20">
        <f>I4-H4</f>
        <v/>
      </c>
      <c r="K4" s="21">
        <f>J4/I4</f>
        <v/>
      </c>
    </row>
    <row r="5" ht="20" customHeight="1">
      <c r="A5" s="10" t="inlineStr">
        <is>
          <t>FeraBee Pure Vodka</t>
        </is>
      </c>
      <c r="B5" s="22" t="inlineStr">
        <is>
          <t>Premium Vodka</t>
        </is>
      </c>
      <c r="C5" s="16" t="n">
        <v>0.428</v>
      </c>
      <c r="D5" s="22" t="inlineStr">
        <is>
          <t>750ml Clear Glass</t>
        </is>
      </c>
      <c r="E5" s="23" t="n">
        <v>1150</v>
      </c>
      <c r="F5" s="23" t="n">
        <v>1900</v>
      </c>
      <c r="G5" s="22" t="inlineStr">
        <is>
          <t>60ml Peg</t>
        </is>
      </c>
      <c r="H5" s="24" t="n">
        <v>22</v>
      </c>
      <c r="I5" s="24" t="n">
        <v>150</v>
      </c>
      <c r="J5" s="25">
        <f>I5-H5</f>
        <v/>
      </c>
      <c r="K5" s="26">
        <f>J5/I5</f>
        <v/>
      </c>
    </row>
    <row r="6" ht="20" customHeight="1">
      <c r="A6" s="8" t="inlineStr">
        <is>
          <t>FeraBee Botanical Gin</t>
        </is>
      </c>
      <c r="B6" s="17" t="inlineStr">
        <is>
          <t>Craft Artisanal Gin</t>
        </is>
      </c>
      <c r="C6" s="13" t="n">
        <v>0.428</v>
      </c>
      <c r="D6" s="17" t="inlineStr">
        <is>
          <t>750ml Clear Glass</t>
        </is>
      </c>
      <c r="E6" s="18" t="n">
        <v>1450</v>
      </c>
      <c r="F6" s="18" t="n">
        <v>2400</v>
      </c>
      <c r="G6" s="17" t="inlineStr">
        <is>
          <t>60ml Peg</t>
        </is>
      </c>
      <c r="H6" s="19" t="n">
        <v>30</v>
      </c>
      <c r="I6" s="19" t="n">
        <v>170</v>
      </c>
      <c r="J6" s="20">
        <f>I6-H6</f>
        <v/>
      </c>
      <c r="K6" s="21">
        <f>J6/I6</f>
        <v/>
      </c>
    </row>
    <row r="7" ht="20" customHeight="1">
      <c r="A7" s="10" t="inlineStr">
        <is>
          <t>FeraBee Dark Rum</t>
        </is>
      </c>
      <c r="B7" s="22" t="inlineStr">
        <is>
          <t>Aged Dark Molasses Rum</t>
        </is>
      </c>
      <c r="C7" s="16" t="n">
        <v>0.428</v>
      </c>
      <c r="D7" s="22" t="inlineStr">
        <is>
          <t>750ml Glass Bottle</t>
        </is>
      </c>
      <c r="E7" s="23" t="n">
        <v>1050</v>
      </c>
      <c r="F7" s="23" t="n">
        <v>1700</v>
      </c>
      <c r="G7" s="22" t="inlineStr">
        <is>
          <t>60ml Peg</t>
        </is>
      </c>
      <c r="H7" s="24" t="n">
        <v>25</v>
      </c>
      <c r="I7" s="24" t="n">
        <v>140</v>
      </c>
      <c r="J7" s="25">
        <f>I7-H7</f>
        <v/>
      </c>
      <c r="K7" s="26">
        <f>J7/I7</f>
        <v/>
      </c>
    </row>
    <row r="8" ht="20" customHeight="1">
      <c r="A8" s="8" t="inlineStr">
        <is>
          <t>FeraBee Crisp Lager</t>
        </is>
      </c>
      <c r="B8" s="17" t="inlineStr">
        <is>
          <t>Premium Craft Lager</t>
        </is>
      </c>
      <c r="C8" s="13" t="n">
        <v>0.05</v>
      </c>
      <c r="D8" s="17" t="inlineStr">
        <is>
          <t>650ml Btl / 500ml Can</t>
        </is>
      </c>
      <c r="E8" s="18" t="n">
        <v>140</v>
      </c>
      <c r="F8" s="18" t="n">
        <v>250</v>
      </c>
      <c r="G8" s="17" t="inlineStr">
        <is>
          <t>500ml Can</t>
        </is>
      </c>
      <c r="H8" s="19" t="n">
        <v>55</v>
      </c>
      <c r="I8" s="19" t="n">
        <v>180</v>
      </c>
      <c r="J8" s="20">
        <f>I8-H8</f>
        <v/>
      </c>
      <c r="K8" s="21">
        <f>J8/I8</f>
        <v/>
      </c>
    </row>
    <row r="9" ht="20" customHeight="1">
      <c r="A9" s="10" t="inlineStr">
        <is>
          <t>FeraBee Sparkling Wine</t>
        </is>
      </c>
      <c r="B9" s="22" t="inlineStr">
        <is>
          <t>Sparkling Wine (Brut/Rose)</t>
        </is>
      </c>
      <c r="C9" s="16" t="n">
        <v>0.12</v>
      </c>
      <c r="D9" s="22" t="inlineStr">
        <is>
          <t>750ml Glass Bottle</t>
        </is>
      </c>
      <c r="E9" s="23" t="n">
        <v>850</v>
      </c>
      <c r="F9" s="23" t="n">
        <v>1500</v>
      </c>
      <c r="G9" s="22" t="inlineStr">
        <is>
          <t>150ml Glass</t>
        </is>
      </c>
      <c r="H9" s="24" t="n">
        <v>90</v>
      </c>
      <c r="I9" s="24" t="n">
        <v>250</v>
      </c>
      <c r="J9" s="25">
        <f>I9-H9</f>
        <v/>
      </c>
      <c r="K9" s="26">
        <f>J9/I9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21" customWidth="1" min="3" max="3"/>
    <col width="23" customWidth="1" min="4" max="4"/>
    <col width="20" customWidth="1" min="5" max="5"/>
  </cols>
  <sheetData>
    <row r="1" ht="30" customHeight="1">
      <c r="A1" s="1" t="inlineStr">
        <is>
          <t>100-COVER BEE LOUNGE MONTHLY UNIT ECONOMICS &amp; P&amp;L STATEMENT</t>
        </is>
      </c>
    </row>
    <row r="2"/>
    <row r="3" ht="24" customHeight="1">
      <c r="A3" s="7" t="inlineStr">
        <is>
          <t>P&amp;L Head / Operating Driver</t>
        </is>
      </c>
      <c r="B3" s="7" t="inlineStr">
        <is>
          <t>Driver Parameters</t>
        </is>
      </c>
      <c r="C3" s="7" t="inlineStr">
        <is>
          <t>Monthly Amount (₹)</t>
        </is>
      </c>
      <c r="D3" s="7" t="inlineStr">
        <is>
          <t>Share of Revenue (%)</t>
        </is>
      </c>
      <c r="E3" s="7" t="inlineStr">
        <is>
          <t>Operational Notes</t>
        </is>
      </c>
    </row>
    <row r="4">
      <c r="A4" s="6" t="inlineStr">
        <is>
          <t>Operating Days / Month</t>
        </is>
      </c>
      <c r="B4" t="n">
        <v>26</v>
      </c>
      <c r="C4" s="27" t="n">
        <v>26</v>
      </c>
    </row>
    <row r="5">
      <c r="A5" s="6" t="inlineStr">
        <is>
          <t>Daily Unlimited Package Guests</t>
        </is>
      </c>
      <c r="B5" t="n">
        <v>105</v>
      </c>
      <c r="C5" s="27" t="n">
        <v>105</v>
      </c>
    </row>
    <row r="6">
      <c r="A6" s="6" t="inlineStr">
        <is>
          <t>Average Package Ticket Price (₹)</t>
        </is>
      </c>
      <c r="B6" t="n">
        <v>1499</v>
      </c>
      <c r="C6" s="28" t="n">
        <v>1499</v>
      </c>
    </row>
    <row r="7">
      <c r="A7" s="6" t="inlineStr">
        <is>
          <t>Monthly Unlimited Package Sales</t>
        </is>
      </c>
      <c r="B7" t="inlineStr">
        <is>
          <t>105 guests * ₹1,499 * 26 days</t>
        </is>
      </c>
      <c r="C7" s="29">
        <f>B5*B6*B4</f>
        <v/>
      </c>
      <c r="D7" s="30">
        <f>C7/$C$9</f>
        <v/>
      </c>
    </row>
    <row r="8">
      <c r="A8" s="6" t="inlineStr">
        <is>
          <t>Monthly A La Carte Sales</t>
        </is>
      </c>
      <c r="B8" t="inlineStr">
        <is>
          <t>45 guests * ₹850 * 26 days</t>
        </is>
      </c>
      <c r="C8" s="29">
        <f>45*850*B4</f>
        <v/>
      </c>
      <c r="D8" s="30">
        <f>C8/$C$9</f>
        <v/>
      </c>
    </row>
    <row r="9" ht="24" customHeight="1">
      <c r="A9" s="31" t="inlineStr">
        <is>
          <t>TOTAL MONTHLY GROSS REVENUE</t>
        </is>
      </c>
      <c r="B9" s="32" t="inlineStr">
        <is>
          <t>Sum of Package + A La Carte</t>
        </is>
      </c>
      <c r="C9" s="33">
        <f>C7+C8</f>
        <v/>
      </c>
      <c r="D9" s="34" t="n">
        <v>1</v>
      </c>
    </row>
    <row r="10"/>
    <row r="11">
      <c r="A11" s="6" t="inlineStr">
        <is>
          <t>Food &amp; Beverage COGS (48.0%)</t>
        </is>
      </c>
      <c r="B11" t="inlineStr">
        <is>
          <t>48.0% of Gross Revenue</t>
        </is>
      </c>
      <c r="C11" s="35">
        <f>C9*0.48</f>
        <v/>
      </c>
      <c r="D11" s="30">
        <f>C11/$C$9</f>
        <v/>
      </c>
    </row>
    <row r="12" ht="22" customHeight="1">
      <c r="A12" s="36" t="inlineStr">
        <is>
          <t>GROSS OPERATING PROFIT (52.0%)</t>
        </is>
      </c>
      <c r="B12" s="37" t="inlineStr">
        <is>
          <t>Revenue - COGS</t>
        </is>
      </c>
      <c r="C12" s="38">
        <f>C9-C11</f>
        <v/>
      </c>
      <c r="D12" s="39">
        <f>C12/$C$9</f>
        <v/>
      </c>
    </row>
    <row r="13"/>
    <row r="14" ht="19" customHeight="1">
      <c r="A14" s="40" t="inlineStr">
        <is>
          <t>Real Estate Rent &amp; CAM</t>
        </is>
      </c>
      <c r="B14" s="41" t="inlineStr">
        <is>
          <t>3,000 sq.ft @ ₹150/sq.ft</t>
        </is>
      </c>
      <c r="C14" s="42" t="n">
        <v>450000</v>
      </c>
      <c r="D14" s="43">
        <f>C14/$C$9</f>
        <v/>
      </c>
    </row>
    <row r="15" ht="19" customHeight="1">
      <c r="A15" s="40" t="inlineStr">
        <is>
          <t>Personnel Payroll (22 Staff)</t>
        </is>
      </c>
      <c r="B15" s="41" t="inlineStr">
        <is>
          <t>2-shift roster (Kitchen + Bar + Service)</t>
        </is>
      </c>
      <c r="C15" s="42" t="n">
        <v>550000</v>
      </c>
      <c r="D15" s="43">
        <f>C15/$C$9</f>
        <v/>
      </c>
    </row>
    <row r="16" ht="19" customHeight="1">
      <c r="A16" s="40" t="inlineStr">
        <is>
          <t>Electricity, HVAC &amp; Refrigeration</t>
        </is>
      </c>
      <c r="B16" s="41" t="inlineStr">
        <is>
          <t>Continuous chillers &amp; AC load</t>
        </is>
      </c>
      <c r="C16" s="42" t="n">
        <v>150000</v>
      </c>
      <c r="D16" s="43">
        <f>C16/$C$9</f>
        <v/>
      </c>
    </row>
    <row r="17" ht="19" customHeight="1">
      <c r="A17" s="40" t="inlineStr">
        <is>
          <t>Franchise Brand Royalty (6.0%)</t>
        </is>
      </c>
      <c r="B17" s="41">
        <f>C9*0.06</f>
        <v/>
      </c>
      <c r="C17" s="42">
        <f>C9*0.06</f>
        <v/>
      </c>
      <c r="D17" s="43">
        <f>C17/$C$9</f>
        <v/>
      </c>
    </row>
    <row r="18" ht="19" customHeight="1">
      <c r="A18" s="40" t="inlineStr">
        <is>
          <t>Marketing, Tech SaaS &amp; RFID</t>
        </is>
      </c>
      <c r="B18" s="41" t="inlineStr">
        <is>
          <t>Local ads, POS cloud, IoT pourers</t>
        </is>
      </c>
      <c r="C18" s="42" t="n">
        <v>150000</v>
      </c>
      <c r="D18" s="43">
        <f>C18/$C$9</f>
        <v/>
      </c>
    </row>
    <row r="19" ht="19" customHeight="1">
      <c r="A19" s="40" t="inlineStr">
        <is>
          <t>FL-III License Amortization</t>
        </is>
      </c>
      <c r="B19" s="41" t="inlineStr">
        <is>
          <t>₹14.4L annual license / 12</t>
        </is>
      </c>
      <c r="C19" s="42" t="n">
        <v>120000</v>
      </c>
      <c r="D19" s="43">
        <f>C19/$C$9</f>
        <v/>
      </c>
    </row>
    <row r="20" ht="19" customHeight="1">
      <c r="A20" s="40" t="inlineStr">
        <is>
          <t>Breakage, Spoilage &amp; Security</t>
        </is>
      </c>
      <c r="B20" s="41" t="inlineStr">
        <is>
          <t>Glassware replacement &amp; waste</t>
        </is>
      </c>
      <c r="C20" s="42" t="n">
        <v>80000</v>
      </c>
      <c r="D20" s="43">
        <f>C20/$C$9</f>
        <v/>
      </c>
    </row>
    <row r="21" ht="22" customHeight="1">
      <c r="A21" s="6" t="inlineStr">
        <is>
          <t>TOTAL MONTHLY STORE OPEX</t>
        </is>
      </c>
      <c r="B21" t="inlineStr">
        <is>
          <t>Sum of Operating Expenses</t>
        </is>
      </c>
      <c r="C21" s="29">
        <f>SUM(C14:C20)</f>
        <v/>
      </c>
      <c r="D21" s="44">
        <f>C21/$C$9</f>
        <v/>
      </c>
    </row>
    <row r="22"/>
    <row r="23" ht="25" customHeight="1">
      <c r="A23" s="45" t="inlineStr">
        <is>
          <t>NET MONTHLY OPERATING PROFIT (EBIT)</t>
        </is>
      </c>
      <c r="B23" s="46" t="inlineStr">
        <is>
          <t>Gross Profit - Total OPEX</t>
        </is>
      </c>
      <c r="C23" s="47">
        <f>C12-C21</f>
        <v/>
      </c>
      <c r="D23" s="48">
        <f>C23/$C$9</f>
        <v/>
      </c>
    </row>
    <row r="24">
      <c r="A24" s="6" t="inlineStr">
        <is>
          <t>Annual Net Cash Flow to Franchisee</t>
        </is>
      </c>
      <c r="B24" t="inlineStr">
        <is>
          <t>Net Monthly Profit * 12</t>
        </is>
      </c>
      <c r="C24" s="29">
        <f>C23*12</f>
        <v/>
      </c>
    </row>
    <row r="25">
      <c r="A25" s="6" t="inlineStr">
        <is>
          <t>Initial Franchise Setup Capex</t>
        </is>
      </c>
      <c r="B25" t="inlineStr">
        <is>
          <t>Fitout, License, Equipment &amp; Deposit</t>
        </is>
      </c>
      <c r="C25" s="35" t="n">
        <v>12500000</v>
      </c>
    </row>
    <row r="26" ht="24" customHeight="1">
      <c r="A26" s="49" t="inlineStr">
        <is>
          <t>FRANCHISE PAYBACK PERIOD (MONTHS)</t>
        </is>
      </c>
      <c r="B26" s="37" t="inlineStr">
        <is>
          <t>Setup Capex / Net Monthly Profit</t>
        </is>
      </c>
      <c r="C26" s="50">
        <f>C25/C23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3" customWidth="1" min="3" max="3"/>
    <col width="28" customWidth="1" min="4" max="4"/>
    <col width="28" customWidth="1" min="5" max="5"/>
  </cols>
  <sheetData>
    <row r="1" ht="30" customHeight="1">
      <c r="A1" s="1" t="inlineStr">
        <is>
          <t>FERABEE CORPORATE CONSOLIDATED 3-YEAR FINANCIAL PROJECTIONS</t>
        </is>
      </c>
    </row>
    <row r="2"/>
    <row r="3" ht="24" customHeight="1">
      <c r="A3" s="7" t="inlineStr">
        <is>
          <t>Financial Stream / P&amp;L Head</t>
        </is>
      </c>
      <c r="B3" s="7" t="inlineStr">
        <is>
          <t>Year 1 (60 Outlets)</t>
        </is>
      </c>
      <c r="C3" s="7" t="inlineStr">
        <is>
          <t>Year 2 (150 Outlets)</t>
        </is>
      </c>
      <c r="D3" s="7" t="inlineStr">
        <is>
          <t>Year 3 Base (250 Outlets)</t>
        </is>
      </c>
      <c r="E3" s="7" t="inlineStr">
        <is>
          <t>Year 3 Bull (367 Outlets)</t>
        </is>
      </c>
    </row>
    <row r="4" ht="20" customHeight="1">
      <c r="A4" s="8" t="inlineStr">
        <is>
          <t>Active Operational Bee Lounges</t>
        </is>
      </c>
      <c r="B4" s="9" t="n">
        <v>60</v>
      </c>
      <c r="C4" s="9" t="n">
        <v>150</v>
      </c>
      <c r="D4" s="9" t="n">
        <v>250</v>
      </c>
      <c r="E4" s="9" t="n">
        <v>367</v>
      </c>
    </row>
    <row r="5" ht="20" customHeight="1">
      <c r="A5" s="10" t="inlineStr">
        <is>
          <t>Franchise Royalty Revenue (6%)</t>
        </is>
      </c>
      <c r="B5" s="11" t="n">
        <v>91800000</v>
      </c>
      <c r="C5" s="11" t="n">
        <v>252000000</v>
      </c>
      <c r="D5" s="11" t="n">
        <v>460000000</v>
      </c>
      <c r="E5" s="11" t="n">
        <v>676000000</v>
      </c>
    </row>
    <row r="6" ht="20" customHeight="1">
      <c r="A6" s="8" t="inlineStr">
        <is>
          <t>One-Time Franchise Onboarding Fees</t>
        </is>
      </c>
      <c r="B6" s="12" t="n">
        <v>60000000</v>
      </c>
      <c r="C6" s="12" t="n">
        <v>90000000</v>
      </c>
      <c r="D6" s="12" t="n">
        <v>100000000</v>
      </c>
      <c r="E6" s="12" t="n">
        <v>117000000</v>
      </c>
    </row>
    <row r="7" ht="20" customHeight="1">
      <c r="A7" s="10" t="inlineStr">
        <is>
          <t>Spirits Wholesale Supply Margin (15%)</t>
        </is>
      </c>
      <c r="B7" s="11" t="n">
        <v>72000000</v>
      </c>
      <c r="C7" s="11" t="n">
        <v>162000000</v>
      </c>
      <c r="D7" s="11" t="n">
        <v>280000000</v>
      </c>
      <c r="E7" s="11" t="n">
        <v>400000000</v>
      </c>
    </row>
    <row r="8" ht="20" customHeight="1">
      <c r="A8" s="8" t="inlineStr">
        <is>
          <t>Retail Market Off-Trade Distribution</t>
        </is>
      </c>
      <c r="B8" s="12" t="n">
        <v>150000000</v>
      </c>
      <c r="C8" s="12" t="n">
        <v>300000000</v>
      </c>
      <c r="D8" s="12" t="n">
        <v>500000000</v>
      </c>
      <c r="E8" s="12" t="n">
        <v>850000000</v>
      </c>
    </row>
    <row r="9" ht="20" customHeight="1">
      <c r="A9" s="51" t="inlineStr">
        <is>
          <t>TOTAL CONSOLIDATED REVENUE</t>
        </is>
      </c>
      <c r="B9" s="52">
        <f>SUM(B5:B8)</f>
        <v/>
      </c>
      <c r="C9" s="52">
        <f>SUM(C5:C8)</f>
        <v/>
      </c>
      <c r="D9" s="52">
        <f>SUM(D5:D8)</f>
        <v/>
      </c>
      <c r="E9" s="52">
        <f>SUM(E5:E8)</f>
        <v/>
      </c>
    </row>
    <row r="10" ht="20" customHeight="1">
      <c r="A10" s="8" t="inlineStr">
        <is>
          <t>Central Overheads, Marketing &amp; Operations</t>
        </is>
      </c>
      <c r="B10" s="12" t="n">
        <v>273800000</v>
      </c>
      <c r="C10" s="12" t="n">
        <v>574000000</v>
      </c>
      <c r="D10" s="12" t="n">
        <v>980000000</v>
      </c>
      <c r="E10" s="12" t="n">
        <v>1263000000</v>
      </c>
    </row>
    <row r="11" ht="20" customHeight="1">
      <c r="A11" s="53" t="inlineStr">
        <is>
          <t>CONSOLIDATED CORPORATE EBITDA</t>
        </is>
      </c>
      <c r="B11" s="54">
        <f>B9-B10</f>
        <v/>
      </c>
      <c r="C11" s="54">
        <f>C9-C10</f>
        <v/>
      </c>
      <c r="D11" s="54">
        <f>D9-D10</f>
        <v/>
      </c>
      <c r="E11" s="54">
        <f>E9-E10</f>
        <v/>
      </c>
    </row>
    <row r="12" ht="20" customHeight="1">
      <c r="A12" s="8" t="inlineStr">
        <is>
          <t>EBITDA Margin (%)</t>
        </is>
      </c>
      <c r="B12" s="13">
        <f>B11/B9</f>
        <v/>
      </c>
      <c r="C12" s="13">
        <f>C11/C9</f>
        <v/>
      </c>
      <c r="D12" s="13">
        <f>D11/D9</f>
        <v/>
      </c>
      <c r="E12" s="13">
        <f>E11/E9</f>
        <v/>
      </c>
    </row>
    <row r="13" ht="20" customHeight="1">
      <c r="A13" s="10" t="inlineStr">
        <is>
          <t>Target EV / EBITDA Valuation Multiple</t>
        </is>
      </c>
      <c r="B13" s="14" t="n">
        <v>8</v>
      </c>
      <c r="C13" s="14" t="n">
        <v>8</v>
      </c>
      <c r="D13" s="14" t="n">
        <v>8</v>
      </c>
      <c r="E13" s="14" t="n">
        <v>10</v>
      </c>
    </row>
    <row r="14" ht="20" customHeight="1">
      <c r="A14" s="8" t="inlineStr">
        <is>
          <t>ENTERPRISE VALUATION (EV)</t>
        </is>
      </c>
      <c r="B14" s="55">
        <f>B11*B13</f>
        <v/>
      </c>
      <c r="C14" s="55">
        <f>C11*C13</f>
        <v/>
      </c>
      <c r="D14" s="55">
        <f>D11*D13</f>
        <v/>
      </c>
      <c r="E14" s="55">
        <f>E11*E13</f>
        <v/>
      </c>
    </row>
    <row r="15" ht="20" customHeight="1">
      <c r="A15" s="10" t="inlineStr">
        <is>
          <t>Investor 25% Equity Stake Value</t>
        </is>
      </c>
      <c r="B15" s="56">
        <f>B14*0.25</f>
        <v/>
      </c>
      <c r="C15" s="56">
        <f>C14*0.25</f>
        <v/>
      </c>
      <c r="D15" s="56">
        <f>D14*0.25</f>
        <v/>
      </c>
      <c r="E15" s="56">
        <f>E14*0.25</f>
        <v/>
      </c>
    </row>
    <row r="16" ht="20" customHeight="1">
      <c r="A16" s="57" t="inlineStr">
        <is>
          <t>INVESTOR RETURN MULTIPLE (MOIC)</t>
        </is>
      </c>
      <c r="B16" s="58">
        <f>B15/180000000</f>
        <v/>
      </c>
      <c r="C16" s="58">
        <f>C15/180000000</f>
        <v/>
      </c>
      <c r="D16" s="58">
        <f>D15/180000000</f>
        <v/>
      </c>
      <c r="E16" s="58">
        <f>E15/180000000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2026-08-14T09:27:22Z</dcterms:created>
  <dcterms:modified xsi:type="dcterms:W3CDTF">2026-08-14T09:27:22Z</dcterms:modified>
</cp:coreProperties>
</file>